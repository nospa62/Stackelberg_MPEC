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rices &amp; Dispatch" sheetId="2" state="visible" r:id="rId2"/>
    <sheet xmlns:r="http://schemas.openxmlformats.org/officeDocument/2006/relationships" name="Voltages" sheetId="3" state="visible" r:id="rId3"/>
    <sheet xmlns:r="http://schemas.openxmlformats.org/officeDocument/2006/relationships" name="Branch Flows" sheetId="4" state="visible" r:id="rId4"/>
    <sheet xmlns:r="http://schemas.openxmlformats.org/officeDocument/2006/relationships" name="KKT Verification" sheetId="5" state="visible" r:id="rId5"/>
    <sheet xmlns:r="http://schemas.openxmlformats.org/officeDocument/2006/relationships" name="Market Statistics" sheetId="6" state="visible" r:id="rId6"/>
    <sheet xmlns:r="http://schemas.openxmlformats.org/officeDocument/2006/relationships" name="Voltage Profi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€#,##0.00"/>
    <numFmt numFmtId="165" formatCode="#,##0.000"/>
    <numFmt numFmtId="166" formatCode="0.000000"/>
    <numFmt numFmtId="167" formatCode="0.0000"/>
  </numFmts>
  <fonts count="7">
    <font>
      <name val="Calibri"/>
      <family val="2"/>
      <color theme="1"/>
      <sz val="11"/>
      <scheme val="minor"/>
    </font>
    <font>
      <b val="1"/>
      <color rgb="00002060"/>
      <sz val="14"/>
    </font>
    <font>
      <b val="1"/>
    </font>
    <font>
      <b val="1"/>
      <sz val="12"/>
    </font>
    <font>
      <color rgb="00FF0000"/>
    </font>
    <font>
      <b val="1"/>
      <color rgb="00FFFFFF"/>
      <sz val="11"/>
    </font>
    <font>
      <i val="1"/>
      <color rgb="00808080"/>
    </font>
  </fonts>
  <fills count="7">
    <fill>
      <patternFill/>
    </fill>
    <fill>
      <patternFill patternType="gray125"/>
    </fill>
    <fill>
      <patternFill patternType="solid">
        <fgColor rgb="00FFC7CE"/>
        <bgColor rgb="00FFC7CE"/>
      </patternFill>
    </fill>
    <fill>
      <patternFill patternType="solid">
        <fgColor rgb="00002060"/>
        <bgColor rgb="00002060"/>
      </patternFill>
    </fill>
    <fill>
      <patternFill patternType="solid">
        <fgColor rgb="00BDD7EE"/>
        <bgColor rgb="00BDD7EE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4" fontId="0" fillId="4" borderId="0" pivotButton="0" quotePrefix="0" xfId="0"/>
    <xf numFmtId="0" fontId="0" fillId="5" borderId="0" pivotButton="0" quotePrefix="0" xfId="0"/>
    <xf numFmtId="166" fontId="0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167" fontId="0" fillId="5" borderId="0" pivotButton="0" quotePrefix="0" xfId="0"/>
    <xf numFmtId="10" fontId="0" fillId="5" borderId="0" pivotButton="0" quotePrefix="0" xfId="0"/>
    <xf numFmtId="166" fontId="0" fillId="0" borderId="0" pivotButton="0" quotePrefix="0" xfId="0"/>
    <xf numFmtId="166" fontId="0" fillId="2" borderId="0" pivotButton="0" quotePrefix="0" xfId="0"/>
    <xf numFmtId="0" fontId="6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 Profile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'Voltage Profile'!B1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'Voltage Profile'!$A$2:$A$14</f>
            </numRef>
          </cat>
          <val>
            <numRef>
              <f>'Voltage Profile'!$B$2:$B$14</f>
            </numRef>
          </val>
        </ser>
        <ser>
          <idx val="1"/>
          <order val="1"/>
          <tx>
            <strRef>
              <f>'Voltage Profile'!C1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'Voltage Profile'!$A$2:$A$14</f>
            </numRef>
          </cat>
          <val>
            <numRef>
              <f>'Voltage Profile'!$C$2:$C$14</f>
            </numRef>
          </val>
        </ser>
        <ser>
          <idx val="2"/>
          <order val="2"/>
          <tx>
            <strRef>
              <f>'Voltage Profile'!D1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'Voltage Profile'!$A$2:$A$14</f>
            </numRef>
          </cat>
          <val>
            <numRef>
              <f>'Voltage Profile'!$D$2:$D$14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Bus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7"/>
          <min val="0.93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 (pu)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2060"/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104" customWidth="1" min="1" max="1"/>
    <col width="20" customWidth="1" min="2" max="2"/>
  </cols>
  <sheetData>
    <row r="1">
      <c r="A1" s="1" t="inlineStr">
        <is>
          <t>Stackelberg Dual-Price Reactive Power Market — Results</t>
        </is>
      </c>
    </row>
    <row r="2"/>
    <row r="3">
      <c r="A3" s="2" t="inlineStr">
        <is>
          <t>Solve Result</t>
        </is>
      </c>
      <c r="B3" t="inlineStr">
        <is>
          <t>solved</t>
        </is>
      </c>
    </row>
    <row r="4">
      <c r="A4" s="2" t="inlineStr">
        <is>
          <t>Objective (€)</t>
        </is>
      </c>
      <c r="B4" s="3" t="n">
        <v>126341.995528</v>
      </c>
    </row>
    <row r="5">
      <c r="A5" s="2" t="inlineStr">
        <is>
          <t>Final eps_smooth</t>
        </is>
      </c>
      <c r="B5" t="n">
        <v>1e-08</v>
      </c>
    </row>
    <row r="6">
      <c r="A6" s="2" t="inlineStr">
        <is>
          <t>P_ref Bus 8 (MW)</t>
        </is>
      </c>
      <c r="B6" t="n">
        <v>27.0994860351541</v>
      </c>
    </row>
    <row r="7">
      <c r="A7" s="2" t="inlineStr">
        <is>
          <t>Total Q Injected (MVAr)</t>
        </is>
      </c>
      <c r="B7" s="4" t="n">
        <v>680.702</v>
      </c>
    </row>
    <row r="8">
      <c r="A8" s="2" t="inlineStr">
        <is>
          <t>Total Q Absorbed (MVAr)</t>
        </is>
      </c>
      <c r="B8" s="4" t="n">
        <v>59.9318</v>
      </c>
    </row>
    <row r="9">
      <c r="A9" s="2" t="inlineStr">
        <is>
          <t>Total Q Shunt (MVAr)</t>
        </is>
      </c>
      <c r="B9" s="4" t="n">
        <v>680</v>
      </c>
    </row>
    <row r="10">
      <c r="A10" s="2" t="inlineStr">
        <is>
          <t>Total Q Load (MVAr)</t>
        </is>
      </c>
      <c r="B10" s="4" t="n">
        <v>1144</v>
      </c>
    </row>
    <row r="11">
      <c r="A11" s="2" t="inlineStr">
        <is>
          <t>Net Reactive Line Losses (MVAr)</t>
        </is>
      </c>
      <c r="B11" s="4" t="n">
        <v>156.7701999999999</v>
      </c>
    </row>
    <row r="12">
      <c r="A12" s="2" t="inlineStr">
        <is>
          <t>Total Payment (€)</t>
        </is>
      </c>
      <c r="B12" s="3" t="n">
        <v>126341.995528</v>
      </c>
    </row>
    <row r="13">
      <c r="A13" s="2" t="inlineStr">
        <is>
          <t>Pure Procurement Cost (€)</t>
        </is>
      </c>
      <c r="B13" s="3" t="n">
        <v>126316.993818</v>
      </c>
    </row>
    <row r="14">
      <c r="A14" s="2" t="inlineStr">
        <is>
          <t>Tikhonov Regularisation Cost (€)</t>
        </is>
      </c>
      <c r="B14" s="3" t="n">
        <v>25.0017106</v>
      </c>
    </row>
    <row r="15">
      <c r="A15" s="2" t="inlineStr">
        <is>
          <t>Avg Injection Price (€/MVAr)</t>
        </is>
      </c>
      <c r="B15" s="3" t="n">
        <v>185.463599549803</v>
      </c>
    </row>
    <row r="16">
      <c r="A16" s="2" t="inlineStr">
        <is>
          <t>Avg Absorption Price (€/MVAr)</t>
        </is>
      </c>
      <c r="B16" s="3" t="n">
        <v>1.19384</v>
      </c>
    </row>
    <row r="17">
      <c r="A17" s="2" t="inlineStr">
        <is>
          <t>Generators Injecting</t>
        </is>
      </c>
      <c r="B17" t="n">
        <v>3</v>
      </c>
    </row>
    <row r="18">
      <c r="A18" s="2" t="inlineStr">
        <is>
          <t>Generators Absorbing</t>
        </is>
      </c>
      <c r="B18" t="n">
        <v>1</v>
      </c>
    </row>
    <row r="19">
      <c r="A19" s="2" t="inlineStr">
        <is>
          <t>Generators Idle</t>
        </is>
      </c>
      <c r="B19" t="n">
        <v>0</v>
      </c>
    </row>
    <row r="20"/>
    <row r="21"/>
    <row r="22">
      <c r="A22" s="5" t="inlineStr">
        <is>
          <t>Consistency Checks</t>
        </is>
      </c>
    </row>
    <row r="23">
      <c r="A23" t="inlineStr">
        <is>
          <t>Dual Price Consistency</t>
        </is>
      </c>
      <c r="B23" s="6" t="inlineStr">
        <is>
          <t>FAIL</t>
        </is>
      </c>
    </row>
    <row r="24">
      <c r="A24" s="7" t="inlineStr">
        <is>
          <t>Gen 0 ABS stationarity FAIL: lam=1.1938 €/MVAr, expected=-0.0000 €/MVAr, residual=1.1938e+00 €/MVAr</t>
        </is>
      </c>
    </row>
    <row r="25">
      <c r="A25" s="7" t="inlineStr">
        <is>
          <t>Gen 1 INJ stationarity FAIL: lam=2.9891 €/MVAr, expected=0.0000 €/MVAr, residual=2.9891e+00 €/MVAr</t>
        </is>
      </c>
    </row>
    <row r="26">
      <c r="A26" s="7" t="inlineStr">
        <is>
          <t>Gen 2 INJ stationarity FAIL: lam=500.0000 €/MVAr, expected=497.7000 €/MVAr, residual=2.3000e+00 €/MVAr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92D050"/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16" customWidth="1" min="4" max="4"/>
    <col width="16" customWidth="1" min="5" max="5"/>
    <col width="14" customWidth="1" min="6" max="6"/>
    <col width="14" customWidth="1" min="7" max="7"/>
    <col width="14" customWidth="1" min="8" max="8"/>
    <col width="12" customWidth="1" min="9" max="9"/>
    <col width="19" customWidth="1" min="10" max="10"/>
    <col width="18" customWidth="1" min="11" max="11"/>
    <col width="19" customWidth="1" min="12" max="12"/>
  </cols>
  <sheetData>
    <row r="1">
      <c r="A1" s="8" t="inlineStr">
        <is>
          <t>gen_id</t>
        </is>
      </c>
      <c r="B1" s="8" t="inlineStr">
        <is>
          <t>name</t>
        </is>
      </c>
      <c r="C1" s="8" t="inlineStr">
        <is>
          <t>bus_id</t>
        </is>
      </c>
      <c r="D1" s="8" t="inlineStr">
        <is>
          <t>λ_inj (€/MVAr)</t>
        </is>
      </c>
      <c r="E1" s="8" t="inlineStr">
        <is>
          <t>λ_abs (€/MVAr)</t>
        </is>
      </c>
      <c r="F1" s="8" t="inlineStr">
        <is>
          <t>Q_inj (MVAr)</t>
        </is>
      </c>
      <c r="G1" s="8" t="inlineStr">
        <is>
          <t>Q_abs (MVAr)</t>
        </is>
      </c>
      <c r="H1" s="8" t="inlineStr">
        <is>
          <t>Q_net (MVAr)</t>
        </is>
      </c>
      <c r="I1" s="8" t="inlineStr">
        <is>
          <t>direction</t>
        </is>
      </c>
      <c r="J1" s="8" t="inlineStr">
        <is>
          <t>revenue (€)</t>
        </is>
      </c>
      <c r="K1" s="8" t="inlineStr">
        <is>
          <t>cost (€)</t>
        </is>
      </c>
      <c r="L1" s="8" t="inlineStr">
        <is>
          <t>profit (€)</t>
        </is>
      </c>
    </row>
    <row r="2">
      <c r="A2" s="9" t="inlineStr">
        <is>
          <t>0</t>
        </is>
      </c>
      <c r="B2" s="9" t="inlineStr">
        <is>
          <t>G0</t>
        </is>
      </c>
      <c r="C2" s="9" t="n">
        <v>10</v>
      </c>
      <c r="D2" s="10" t="n">
        <v>0.69994</v>
      </c>
      <c r="E2" s="10" t="n">
        <v>1.19384</v>
      </c>
      <c r="F2" s="11" t="n">
        <v>1.36786e-13</v>
      </c>
      <c r="G2" s="11" t="n">
        <v>59.9318</v>
      </c>
      <c r="H2" s="11" t="n">
        <v>-59.9318</v>
      </c>
      <c r="I2" s="9" t="inlineStr">
        <is>
          <t>ABSORPTION</t>
        </is>
      </c>
      <c r="J2" s="12" t="n">
        <v>71.54898011200011</v>
      </c>
      <c r="K2" s="12" t="n">
        <v>0</v>
      </c>
      <c r="L2" s="12" t="n">
        <v>71.54898011200011</v>
      </c>
    </row>
    <row r="3">
      <c r="A3" s="13" t="inlineStr">
        <is>
          <t>1</t>
        </is>
      </c>
      <c r="B3" s="13" t="inlineStr">
        <is>
          <t>G1</t>
        </is>
      </c>
      <c r="C3" s="13" t="n">
        <v>11</v>
      </c>
      <c r="D3" s="14" t="n">
        <v>2.98907</v>
      </c>
      <c r="E3" s="14" t="n">
        <v>2.7</v>
      </c>
      <c r="F3" s="15" t="n">
        <v>237.813</v>
      </c>
      <c r="G3" s="15" t="n">
        <v>5.28323e-13</v>
      </c>
      <c r="H3" s="15" t="n">
        <v>237.813</v>
      </c>
      <c r="I3" s="13" t="inlineStr">
        <is>
          <t>INJECTION</t>
        </is>
      </c>
      <c r="J3" s="16" t="n">
        <v>710.8397039100014</v>
      </c>
      <c r="K3" s="16" t="n">
        <v>0</v>
      </c>
      <c r="L3" s="16" t="n">
        <v>710.8397039100014</v>
      </c>
    </row>
    <row r="4">
      <c r="A4" s="13" t="inlineStr">
        <is>
          <t>2</t>
        </is>
      </c>
      <c r="B4" s="13" t="inlineStr">
        <is>
          <t>G2</t>
        </is>
      </c>
      <c r="C4" s="13" t="n">
        <v>12</v>
      </c>
      <c r="D4" s="14" t="n">
        <v>500</v>
      </c>
      <c r="E4" s="14" t="n">
        <v>2.1</v>
      </c>
      <c r="F4" s="15" t="n">
        <v>250</v>
      </c>
      <c r="G4" s="15" t="n">
        <v>4.11526e-13</v>
      </c>
      <c r="H4" s="15" t="n">
        <v>250</v>
      </c>
      <c r="I4" s="13" t="inlineStr">
        <is>
          <t>INJECTION</t>
        </is>
      </c>
      <c r="J4" s="16" t="n">
        <v>125000</v>
      </c>
      <c r="K4" s="16" t="n">
        <v>0</v>
      </c>
      <c r="L4" s="16" t="n">
        <v>125000</v>
      </c>
    </row>
    <row r="5">
      <c r="A5" s="13" t="inlineStr">
        <is>
          <t>3</t>
        </is>
      </c>
      <c r="B5" s="13" t="inlineStr">
        <is>
          <t>G3</t>
        </is>
      </c>
      <c r="C5" s="13" t="n">
        <v>13</v>
      </c>
      <c r="D5" s="14" t="n">
        <v>2.77156</v>
      </c>
      <c r="E5" s="14" t="n">
        <v>3</v>
      </c>
      <c r="F5" s="15" t="n">
        <v>192.889</v>
      </c>
      <c r="G5" s="15" t="n">
        <v>6.48032e-13</v>
      </c>
      <c r="H5" s="15" t="n">
        <v>192.889</v>
      </c>
      <c r="I5" s="13" t="inlineStr">
        <is>
          <t>INJECTION</t>
        </is>
      </c>
      <c r="J5" s="16" t="n">
        <v>534.603436840002</v>
      </c>
      <c r="K5" s="16" t="n">
        <v>460.190332642002</v>
      </c>
      <c r="L5" s="16" t="n">
        <v>74.41310419800004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70C0"/>
    <outlinePr summaryBelow="1" summaryRight="1"/>
    <pageSetUpPr/>
  </sheetPr>
  <dimension ref="A1:G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7" customWidth="1" min="3" max="3"/>
    <col width="10" customWidth="1" min="4" max="4"/>
    <col width="7" customWidth="1" min="5" max="5"/>
    <col width="10" customWidth="1" min="6" max="6"/>
    <col width="8" customWidth="1" min="7" max="7"/>
  </cols>
  <sheetData>
    <row r="1">
      <c r="A1" s="8" t="inlineStr">
        <is>
          <t>bus_id</t>
        </is>
      </c>
      <c r="B1" s="8" t="inlineStr">
        <is>
          <t>name</t>
        </is>
      </c>
      <c r="C1" s="8" t="inlineStr">
        <is>
          <t>V_min</t>
        </is>
      </c>
      <c r="D1" s="8" t="inlineStr">
        <is>
          <t>V_pu</t>
        </is>
      </c>
      <c r="E1" s="8" t="inlineStr">
        <is>
          <t>V_max</t>
        </is>
      </c>
      <c r="F1" s="8" t="inlineStr">
        <is>
          <t>θ (deg)</t>
        </is>
      </c>
      <c r="G1" s="8" t="inlineStr">
        <is>
          <t>status</t>
        </is>
      </c>
    </row>
    <row r="2">
      <c r="A2" s="13" t="inlineStr">
        <is>
          <t>1</t>
        </is>
      </c>
      <c r="B2" s="13" t="inlineStr">
        <is>
          <t>1</t>
        </is>
      </c>
      <c r="C2" s="14" t="n">
        <v>0.95</v>
      </c>
      <c r="D2" s="14" t="n">
        <v>1.01815</v>
      </c>
      <c r="E2" s="14" t="n">
        <v>1.05</v>
      </c>
      <c r="F2" s="17" t="n">
        <v>2.31924</v>
      </c>
      <c r="G2" s="13" t="inlineStr">
        <is>
          <t>OK</t>
        </is>
      </c>
    </row>
    <row r="3">
      <c r="A3" s="13" t="inlineStr">
        <is>
          <t>2</t>
        </is>
      </c>
      <c r="B3" s="13" t="inlineStr">
        <is>
          <t>2</t>
        </is>
      </c>
      <c r="C3" s="14" t="n">
        <v>0.95</v>
      </c>
      <c r="D3" s="14" t="n">
        <v>1.02243</v>
      </c>
      <c r="E3" s="14" t="n">
        <v>1.05</v>
      </c>
      <c r="F3" s="17" t="n">
        <v>3.60266</v>
      </c>
      <c r="G3" s="13" t="inlineStr">
        <is>
          <t>OK</t>
        </is>
      </c>
    </row>
    <row r="4">
      <c r="A4" s="13" t="inlineStr">
        <is>
          <t>3</t>
        </is>
      </c>
      <c r="B4" s="13" t="inlineStr">
        <is>
          <t>3</t>
        </is>
      </c>
      <c r="C4" s="14" t="n">
        <v>0.95</v>
      </c>
      <c r="D4" s="14" t="n">
        <v>0.99346</v>
      </c>
      <c r="E4" s="14" t="n">
        <v>1.05</v>
      </c>
      <c r="F4" s="17" t="n">
        <v>-28.3702</v>
      </c>
      <c r="G4" s="13" t="inlineStr">
        <is>
          <t>OK</t>
        </is>
      </c>
    </row>
    <row r="5">
      <c r="A5" s="13" t="inlineStr">
        <is>
          <t>4</t>
        </is>
      </c>
      <c r="B5" s="13" t="inlineStr">
        <is>
          <t>4</t>
        </is>
      </c>
      <c r="C5" s="14" t="n">
        <v>0.95</v>
      </c>
      <c r="D5" s="14" t="n">
        <v>0.959574</v>
      </c>
      <c r="E5" s="14" t="n">
        <v>1.05</v>
      </c>
      <c r="F5" s="17" t="n">
        <v>-33.3868</v>
      </c>
      <c r="G5" s="13" t="inlineStr">
        <is>
          <t>OK</t>
        </is>
      </c>
    </row>
    <row r="6">
      <c r="A6" s="13" t="inlineStr">
        <is>
          <t>5</t>
        </is>
      </c>
      <c r="B6" s="13" t="inlineStr">
        <is>
          <t>5</t>
        </is>
      </c>
      <c r="C6" s="14" t="n">
        <v>0.95</v>
      </c>
      <c r="D6" s="14" t="n">
        <v>0.980648</v>
      </c>
      <c r="E6" s="14" t="n">
        <v>1.05</v>
      </c>
      <c r="F6" s="17" t="n">
        <v>-22.9426</v>
      </c>
      <c r="G6" s="13" t="inlineStr">
        <is>
          <t>OK</t>
        </is>
      </c>
    </row>
    <row r="7">
      <c r="A7" s="13" t="inlineStr">
        <is>
          <t>6</t>
        </is>
      </c>
      <c r="B7" s="13" t="inlineStr">
        <is>
          <t>6</t>
        </is>
      </c>
      <c r="C7" s="14" t="n">
        <v>0.95</v>
      </c>
      <c r="D7" s="14" t="n">
        <v>1.00481</v>
      </c>
      <c r="E7" s="14" t="n">
        <v>1.05</v>
      </c>
      <c r="F7" s="17" t="n">
        <v>-26.2344</v>
      </c>
      <c r="G7" s="13" t="inlineStr">
        <is>
          <t>OK</t>
        </is>
      </c>
    </row>
    <row r="8">
      <c r="A8" s="13" t="inlineStr">
        <is>
          <t>7</t>
        </is>
      </c>
      <c r="B8" s="13" t="inlineStr">
        <is>
          <t>7</t>
        </is>
      </c>
      <c r="C8" s="14" t="n">
        <v>0.95</v>
      </c>
      <c r="D8" s="14" t="n">
        <v>1.00499</v>
      </c>
      <c r="E8" s="14" t="n">
        <v>1.05</v>
      </c>
      <c r="F8" s="17" t="n">
        <v>-26.2217</v>
      </c>
      <c r="G8" s="13" t="inlineStr">
        <is>
          <t>OK</t>
        </is>
      </c>
    </row>
    <row r="9">
      <c r="A9" s="13" t="inlineStr">
        <is>
          <t>8</t>
        </is>
      </c>
      <c r="B9" s="13" t="inlineStr">
        <is>
          <t>8</t>
        </is>
      </c>
      <c r="C9" s="14" t="n">
        <v>0.95</v>
      </c>
      <c r="D9" s="14" t="n">
        <v>1.03</v>
      </c>
      <c r="E9" s="14" t="n">
        <v>1.05</v>
      </c>
      <c r="F9" s="17" t="n">
        <v>0</v>
      </c>
      <c r="G9" s="13" t="inlineStr">
        <is>
          <t>OK</t>
        </is>
      </c>
    </row>
    <row r="10">
      <c r="A10" s="13" t="inlineStr">
        <is>
          <t>9</t>
        </is>
      </c>
      <c r="B10" s="13" t="inlineStr">
        <is>
          <t>9</t>
        </is>
      </c>
      <c r="C10" s="14" t="n">
        <v>0.95</v>
      </c>
      <c r="D10" s="14" t="n">
        <v>1.00085</v>
      </c>
      <c r="E10" s="14" t="n">
        <v>1.05</v>
      </c>
      <c r="F10" s="17" t="n">
        <v>-25.8453</v>
      </c>
      <c r="G10" s="13" t="inlineStr">
        <is>
          <t>OK</t>
        </is>
      </c>
    </row>
    <row r="11">
      <c r="A11" s="13" t="inlineStr">
        <is>
          <t>10</t>
        </is>
      </c>
      <c r="B11" s="13" t="inlineStr">
        <is>
          <t>10</t>
        </is>
      </c>
      <c r="C11" s="14" t="n">
        <v>0.95</v>
      </c>
      <c r="D11" s="14" t="n">
        <v>1.00838</v>
      </c>
      <c r="E11" s="14" t="n">
        <v>1.05</v>
      </c>
      <c r="F11" s="17" t="n">
        <v>5.94911</v>
      </c>
      <c r="G11" s="13" t="inlineStr">
        <is>
          <t>OK</t>
        </is>
      </c>
    </row>
    <row r="12">
      <c r="A12" s="13" t="inlineStr">
        <is>
          <t>11</t>
        </is>
      </c>
      <c r="B12" s="13" t="inlineStr">
        <is>
          <t>11</t>
        </is>
      </c>
      <c r="C12" s="14" t="n">
        <v>0.95</v>
      </c>
      <c r="D12" s="14" t="n">
        <v>1.05</v>
      </c>
      <c r="E12" s="14" t="n">
        <v>1.05</v>
      </c>
      <c r="F12" s="17" t="n">
        <v>7.07384</v>
      </c>
      <c r="G12" s="13" t="inlineStr">
        <is>
          <t>OK</t>
        </is>
      </c>
    </row>
    <row r="13">
      <c r="A13" s="13" t="inlineStr">
        <is>
          <t>12</t>
        </is>
      </c>
      <c r="B13" s="13" t="inlineStr">
        <is>
          <t>12</t>
        </is>
      </c>
      <c r="C13" s="14" t="n">
        <v>0.95</v>
      </c>
      <c r="D13" s="14" t="n">
        <v>1.02485</v>
      </c>
      <c r="E13" s="14" t="n">
        <v>1.05</v>
      </c>
      <c r="F13" s="17" t="n">
        <v>-26.9069</v>
      </c>
      <c r="G13" s="13" t="inlineStr">
        <is>
          <t>OK</t>
        </is>
      </c>
    </row>
    <row r="14">
      <c r="A14" s="13" t="inlineStr">
        <is>
          <t>13</t>
        </is>
      </c>
      <c r="B14" s="13" t="inlineStr">
        <is>
          <t>13</t>
        </is>
      </c>
      <c r="C14" s="14" t="n">
        <v>0.95</v>
      </c>
      <c r="D14" s="14" t="n">
        <v>1.05</v>
      </c>
      <c r="E14" s="14" t="n">
        <v>1.05</v>
      </c>
      <c r="F14" s="17" t="n">
        <v>-21.9827</v>
      </c>
      <c r="G14" s="13" t="inlineStr">
        <is>
          <t>OK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3" customWidth="1" min="4" max="4"/>
    <col width="15" customWidth="1" min="5" max="5"/>
    <col width="20" customWidth="1" min="6" max="6"/>
    <col width="20" customWidth="1" min="7" max="7"/>
    <col width="21" customWidth="1" min="8" max="8"/>
    <col width="8" customWidth="1" min="9" max="9"/>
  </cols>
  <sheetData>
    <row r="1">
      <c r="A1" s="8" t="inlineStr">
        <is>
          <t>from_bus</t>
        </is>
      </c>
      <c r="B1" s="8" t="inlineStr">
        <is>
          <t>to_bus</t>
        </is>
      </c>
      <c r="C1" s="8" t="inlineStr">
        <is>
          <t>name</t>
        </is>
      </c>
      <c r="D1" s="8" t="inlineStr">
        <is>
          <t>P_flow (MW)</t>
        </is>
      </c>
      <c r="E1" s="8" t="inlineStr">
        <is>
          <t>Q_flow (MVAr)</t>
        </is>
      </c>
      <c r="F1" s="8" t="inlineStr">
        <is>
          <t>|S_flow| (MVA)</t>
        </is>
      </c>
      <c r="G1" s="8" t="inlineStr">
        <is>
          <t>S_max (MVA)</t>
        </is>
      </c>
      <c r="H1" s="8" t="inlineStr">
        <is>
          <t>loading (%)</t>
        </is>
      </c>
      <c r="I1" s="8" t="inlineStr">
        <is>
          <t>status</t>
        </is>
      </c>
    </row>
    <row r="2">
      <c r="A2" s="13" t="inlineStr">
        <is>
          <t>1.0</t>
        </is>
      </c>
      <c r="B2" s="13" t="inlineStr">
        <is>
          <t>2.0</t>
        </is>
      </c>
      <c r="C2" s="13" t="inlineStr">
        <is>
          <t>1.0-2.0</t>
        </is>
      </c>
      <c r="D2" s="15" t="n">
        <v>28.4075</v>
      </c>
      <c r="E2" s="15" t="n">
        <v>0.325451</v>
      </c>
      <c r="F2" s="15" t="n">
        <v>28.40936420625074</v>
      </c>
      <c r="G2" s="15" t="n">
        <v>434.3992618602481</v>
      </c>
      <c r="H2" s="18" t="n">
        <v>0.0653992</v>
      </c>
      <c r="I2" s="13" t="inlineStr">
        <is>
          <t>OK</t>
        </is>
      </c>
    </row>
    <row r="3">
      <c r="A3" s="13" t="inlineStr">
        <is>
          <t>1.0</t>
        </is>
      </c>
      <c r="B3" s="13" t="inlineStr">
        <is>
          <t>6.0</t>
        </is>
      </c>
      <c r="C3" s="13" t="inlineStr">
        <is>
          <t>1.0-6.0</t>
        </is>
      </c>
      <c r="D3" s="15" t="n">
        <v>-201.963</v>
      </c>
      <c r="E3" s="15" t="n">
        <v>-22.8083</v>
      </c>
      <c r="F3" s="15" t="n">
        <v>203.2468251114639</v>
      </c>
      <c r="G3" s="15" t="n">
        <v>434.4004007691389</v>
      </c>
      <c r="H3" s="18" t="n">
        <v>0.467879</v>
      </c>
      <c r="I3" s="13" t="inlineStr">
        <is>
          <t>OK</t>
        </is>
      </c>
    </row>
    <row r="4">
      <c r="A4" s="13" t="inlineStr">
        <is>
          <t>2.0</t>
        </is>
      </c>
      <c r="B4" s="13" t="inlineStr">
        <is>
          <t>5.0</t>
        </is>
      </c>
      <c r="C4" s="13" t="inlineStr">
        <is>
          <t>2.0-5.0</t>
        </is>
      </c>
      <c r="D4" s="15" t="n">
        <v>-186.487</v>
      </c>
      <c r="E4" s="15" t="n">
        <v>-29.5661</v>
      </c>
      <c r="F4" s="15" t="n">
        <v>188.8161948515275</v>
      </c>
      <c r="G4" s="15" t="n">
        <v>434.3987494887452</v>
      </c>
      <c r="H4" s="18" t="n">
        <v>0.434661</v>
      </c>
      <c r="I4" s="13" t="inlineStr">
        <is>
          <t>OK</t>
        </is>
      </c>
    </row>
    <row r="5">
      <c r="A5" s="13" t="inlineStr">
        <is>
          <t>3.0</t>
        </is>
      </c>
      <c r="B5" s="13" t="inlineStr">
        <is>
          <t>4.0</t>
        </is>
      </c>
      <c r="C5" s="13" t="inlineStr">
        <is>
          <t>3.0-4.0</t>
        </is>
      </c>
      <c r="D5" s="15" t="n">
        <v>-211.935</v>
      </c>
      <c r="E5" s="15" t="n">
        <v>-55.9877</v>
      </c>
      <c r="F5" s="15" t="n">
        <v>219.2055354599651</v>
      </c>
      <c r="G5" s="15" t="n">
        <v>868.7979242118397</v>
      </c>
      <c r="H5" s="18" t="n">
        <v>0.252309</v>
      </c>
      <c r="I5" s="13" t="inlineStr">
        <is>
          <t>OK</t>
        </is>
      </c>
    </row>
    <row r="6">
      <c r="A6" s="13" t="inlineStr">
        <is>
          <t>4.0</t>
        </is>
      </c>
      <c r="B6" s="13" t="inlineStr">
        <is>
          <t>5.0</t>
        </is>
      </c>
      <c r="C6" s="13" t="inlineStr">
        <is>
          <t>4.0-5.0</t>
        </is>
      </c>
      <c r="D6" s="15" t="n">
        <v>67.6353</v>
      </c>
      <c r="E6" s="15" t="n">
        <v>-9.21974</v>
      </c>
      <c r="F6" s="15" t="n">
        <v>68.26080435914596</v>
      </c>
      <c r="G6" s="15" t="n">
        <v>434.400363751263</v>
      </c>
      <c r="H6" s="18" t="n">
        <v>0.157138</v>
      </c>
      <c r="I6" s="13" t="inlineStr">
        <is>
          <t>OK</t>
        </is>
      </c>
    </row>
    <row r="7">
      <c r="A7" s="13" t="inlineStr">
        <is>
          <t>4.0</t>
        </is>
      </c>
      <c r="B7" s="13" t="inlineStr">
        <is>
          <t>6.0</t>
        </is>
      </c>
      <c r="C7" s="13" t="inlineStr">
        <is>
          <t>4.0-6.0</t>
        </is>
      </c>
      <c r="D7" s="15" t="n">
        <v>49.7136</v>
      </c>
      <c r="E7" s="15" t="n">
        <v>6.39876</v>
      </c>
      <c r="F7" s="15" t="n">
        <v>50.12370850702889</v>
      </c>
      <c r="G7" s="15" t="n">
        <v>434.4002609244526</v>
      </c>
      <c r="H7" s="18" t="n">
        <v>0.115386</v>
      </c>
      <c r="I7" s="13" t="inlineStr">
        <is>
          <t>OK</t>
        </is>
      </c>
    </row>
    <row r="8">
      <c r="A8" s="13" t="inlineStr">
        <is>
          <t>8.0</t>
        </is>
      </c>
      <c r="B8" s="13" t="inlineStr">
        <is>
          <t>9.0</t>
        </is>
      </c>
      <c r="C8" s="13" t="inlineStr">
        <is>
          <t>8.0-9.0</t>
        </is>
      </c>
      <c r="D8" s="15" t="n">
        <v>-353.544</v>
      </c>
      <c r="E8" s="15" t="n">
        <v>-65.5313</v>
      </c>
      <c r="F8" s="15" t="n">
        <v>359.5660039765856</v>
      </c>
      <c r="G8" s="15" t="n">
        <v>868.8002222381348</v>
      </c>
      <c r="H8" s="18" t="n">
        <v>0.413865</v>
      </c>
      <c r="I8" s="13" t="inlineStr">
        <is>
          <t>OK</t>
        </is>
      </c>
    </row>
    <row r="9">
      <c r="A9" s="13" t="inlineStr">
        <is>
          <t>6.0</t>
        </is>
      </c>
      <c r="B9" s="13" t="inlineStr">
        <is>
          <t>7.0</t>
        </is>
      </c>
      <c r="C9" s="13" t="inlineStr">
        <is>
          <t>6.0-7.0</t>
        </is>
      </c>
      <c r="D9" s="15" t="n">
        <v>299.984</v>
      </c>
      <c r="E9" s="15" t="n">
        <v>162.802</v>
      </c>
      <c r="F9" s="15" t="n">
        <v>341.3134797513863</v>
      </c>
      <c r="G9" s="15" t="n">
        <v>434.3991321923579</v>
      </c>
      <c r="H9" s="18" t="n">
        <v>0.785714</v>
      </c>
      <c r="I9" s="13" t="inlineStr">
        <is>
          <t>OK</t>
        </is>
      </c>
    </row>
    <row r="10">
      <c r="A10" s="13" t="inlineStr">
        <is>
          <t>8.0</t>
        </is>
      </c>
      <c r="B10" s="13" t="inlineStr">
        <is>
          <t>1.0</t>
        </is>
      </c>
      <c r="C10" s="13" t="inlineStr">
        <is>
          <t>8.0-1.0</t>
        </is>
      </c>
      <c r="D10" s="15" t="n">
        <v>326.445</v>
      </c>
      <c r="E10" s="15" t="n">
        <v>-100.508</v>
      </c>
      <c r="F10" s="15" t="n">
        <v>341.5672643696992</v>
      </c>
      <c r="G10" s="15" t="n">
        <v>1000.000773990752</v>
      </c>
      <c r="H10" s="18" t="n">
        <v>0.341567</v>
      </c>
      <c r="I10" s="13" t="inlineStr">
        <is>
          <t>OK</t>
        </is>
      </c>
    </row>
    <row r="11">
      <c r="A11" s="13" t="inlineStr">
        <is>
          <t>9.0</t>
        </is>
      </c>
      <c r="B11" s="13" t="inlineStr">
        <is>
          <t>3.0</t>
        </is>
      </c>
      <c r="C11" s="13" t="inlineStr">
        <is>
          <t>9.0-3.0</t>
        </is>
      </c>
      <c r="D11" s="15" t="n">
        <v>-336.935</v>
      </c>
      <c r="E11" s="15" t="n">
        <v>-64.3181</v>
      </c>
      <c r="F11" s="15" t="n">
        <v>343.0189677155041</v>
      </c>
      <c r="G11" s="15" t="n">
        <v>999.9999058813187</v>
      </c>
      <c r="H11" s="18" t="n">
        <v>0.343019</v>
      </c>
      <c r="I11" s="13" t="inlineStr">
        <is>
          <t>OK</t>
        </is>
      </c>
    </row>
    <row r="12">
      <c r="A12" s="13" t="inlineStr">
        <is>
          <t>1.0</t>
        </is>
      </c>
      <c r="B12" s="13" t="inlineStr">
        <is>
          <t>10.0</t>
        </is>
      </c>
      <c r="C12" s="13" t="inlineStr">
        <is>
          <t>1.0-10.0</t>
        </is>
      </c>
      <c r="D12" s="15" t="n">
        <v>500</v>
      </c>
      <c r="E12" s="15" t="n">
        <v>-92.3531</v>
      </c>
      <c r="F12" s="15" t="n">
        <v>508.4575646793054</v>
      </c>
      <c r="G12" s="15" t="n">
        <v>999.9991438413899</v>
      </c>
      <c r="H12" s="18" t="n">
        <v>0.508458</v>
      </c>
      <c r="I12" s="13" t="inlineStr">
        <is>
          <t>OK</t>
        </is>
      </c>
    </row>
    <row r="13">
      <c r="A13" s="13" t="inlineStr">
        <is>
          <t>2.0</t>
        </is>
      </c>
      <c r="B13" s="13" t="inlineStr">
        <is>
          <t>11.0</t>
        </is>
      </c>
      <c r="C13" s="13" t="inlineStr">
        <is>
          <t>2.0-11.0</t>
        </is>
      </c>
      <c r="D13" s="15" t="n">
        <v>500</v>
      </c>
      <c r="E13" s="15" t="n">
        <v>201.666</v>
      </c>
      <c r="F13" s="15" t="n">
        <v>539.1374366114821</v>
      </c>
      <c r="G13" s="15" t="n">
        <v>999.9989550198319</v>
      </c>
      <c r="H13" s="18" t="n">
        <v>0.539138</v>
      </c>
      <c r="I13" s="13" t="inlineStr">
        <is>
          <t>OK</t>
        </is>
      </c>
    </row>
    <row r="14">
      <c r="A14" s="13" t="inlineStr">
        <is>
          <t>3.0</t>
        </is>
      </c>
      <c r="B14" s="13" t="inlineStr">
        <is>
          <t>12.0</t>
        </is>
      </c>
      <c r="C14" s="13" t="inlineStr">
        <is>
          <t>3.0-12.0</t>
        </is>
      </c>
      <c r="D14" s="15" t="n">
        <v>200</v>
      </c>
      <c r="E14" s="15" t="n">
        <v>237.313</v>
      </c>
      <c r="F14" s="15" t="n">
        <v>310.3505436905178</v>
      </c>
      <c r="G14" s="15" t="n">
        <v>999.9985296986889</v>
      </c>
      <c r="H14" s="18" t="n">
        <v>0.310351</v>
      </c>
      <c r="I14" s="13" t="inlineStr">
        <is>
          <t>OK</t>
        </is>
      </c>
    </row>
    <row r="15">
      <c r="A15" s="13" t="inlineStr">
        <is>
          <t>7.0</t>
        </is>
      </c>
      <c r="B15" s="13" t="inlineStr">
        <is>
          <t>13.0</t>
        </is>
      </c>
      <c r="C15" s="13" t="inlineStr">
        <is>
          <t>7.0-13.0</t>
        </is>
      </c>
      <c r="D15" s="15" t="n">
        <v>300</v>
      </c>
      <c r="E15" s="15" t="n">
        <v>162.89</v>
      </c>
      <c r="F15" s="15" t="n">
        <v>341.3695242695223</v>
      </c>
      <c r="G15" s="15" t="n">
        <v>500.0000355472916</v>
      </c>
      <c r="H15" s="18" t="n">
        <v>0.682739</v>
      </c>
      <c r="I15" s="13" t="inlineStr">
        <is>
          <t>OK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3" customWidth="1" min="4" max="4"/>
    <col width="13" customWidth="1" min="5" max="5"/>
    <col width="23" customWidth="1" min="6" max="6"/>
    <col width="24" customWidth="1" min="7" max="7"/>
    <col width="24" customWidth="1" min="8" max="8"/>
    <col width="23" customWidth="1" min="9" max="9"/>
    <col width="24" customWidth="1" min="10" max="10"/>
    <col width="24" customWidth="1" min="11" max="11"/>
    <col width="23" customWidth="1" min="12" max="12"/>
    <col width="16" customWidth="1" min="13" max="13"/>
  </cols>
  <sheetData>
    <row r="1">
      <c r="A1" s="8" t="inlineStr">
        <is>
          <t>gen_id</t>
        </is>
      </c>
      <c r="B1" s="8" t="inlineStr">
        <is>
          <t>μ_qp_ub</t>
        </is>
      </c>
      <c r="C1" s="8" t="inlineStr">
        <is>
          <t>μ_qp_lb</t>
        </is>
      </c>
      <c r="D1" s="8" t="inlineStr">
        <is>
          <t>μ_qn_ub</t>
        </is>
      </c>
      <c r="E1" s="8" t="inlineStr">
        <is>
          <t>μ_qn_lb</t>
        </is>
      </c>
      <c r="F1" s="8" t="inlineStr">
        <is>
          <t>stat_inj_residual</t>
        </is>
      </c>
      <c r="G1" s="8" t="inlineStr">
        <is>
          <t>stat_abs_residual</t>
        </is>
      </c>
      <c r="H1" s="8" t="inlineStr">
        <is>
          <t>compl_qp_ub_violation</t>
        </is>
      </c>
      <c r="I1" s="8" t="inlineStr">
        <is>
          <t>compl_qp_lb_violation</t>
        </is>
      </c>
      <c r="J1" s="8" t="inlineStr">
        <is>
          <t>compl_qn_ub_violation</t>
        </is>
      </c>
      <c r="K1" s="8" t="inlineStr">
        <is>
          <t>compl_qn_lb_violation</t>
        </is>
      </c>
      <c r="L1" s="8" t="inlineStr">
        <is>
          <t>exclusivity_violation</t>
        </is>
      </c>
      <c r="M1" s="8" t="inlineStr">
        <is>
          <t>overall_status</t>
        </is>
      </c>
    </row>
    <row r="2">
      <c r="A2" t="inlineStr">
        <is>
          <t>0</t>
        </is>
      </c>
      <c r="B2" s="19" t="n">
        <v>5.88077e-14</v>
      </c>
      <c r="C2" s="19" t="n">
        <v>6.04075e-05</v>
      </c>
      <c r="D2" s="19" t="n">
        <v>0</v>
      </c>
      <c r="E2" s="19" t="n">
        <v>6.31369e-41</v>
      </c>
      <c r="F2" s="20" t="n">
        <v>0.7000004074999412</v>
      </c>
      <c r="G2" s="20" t="n">
        <v>1.19384</v>
      </c>
      <c r="H2" s="14" t="n">
        <v>8.0440700522e-27</v>
      </c>
      <c r="I2" s="14" t="n">
        <v>8.262900295e-18</v>
      </c>
      <c r="J2" s="14" t="n">
        <v>0</v>
      </c>
      <c r="K2" s="14" t="n">
        <v>3.78390806342e-39</v>
      </c>
      <c r="L2" s="14" t="n">
        <v>8.1978311948e-12</v>
      </c>
      <c r="M2" s="6" t="inlineStr">
        <is>
          <t>FAIL</t>
        </is>
      </c>
    </row>
    <row r="3">
      <c r="A3" t="inlineStr">
        <is>
          <t>1</t>
        </is>
      </c>
      <c r="B3" s="19" t="n">
        <v>2.25855e-17</v>
      </c>
      <c r="C3" s="19" t="n">
        <v>0</v>
      </c>
      <c r="D3" s="19" t="n">
        <v>0</v>
      </c>
      <c r="E3" s="19" t="n">
        <v>2.4835e-06</v>
      </c>
      <c r="F3" s="20" t="n">
        <v>2.98907</v>
      </c>
      <c r="G3" s="20" t="n">
        <v>2.7000024835</v>
      </c>
      <c r="H3" s="14" t="n">
        <v>5.371125511499999e-15</v>
      </c>
      <c r="I3" s="14" t="n">
        <v>0</v>
      </c>
      <c r="J3" s="14" t="n">
        <v>0</v>
      </c>
      <c r="K3" s="14" t="n">
        <v>1.3120901705e-18</v>
      </c>
      <c r="L3" s="14" t="n">
        <v>1.25642077599e-10</v>
      </c>
      <c r="M3" s="6" t="inlineStr">
        <is>
          <t>FAIL</t>
        </is>
      </c>
    </row>
    <row r="4">
      <c r="A4" t="inlineStr">
        <is>
          <t>2</t>
        </is>
      </c>
      <c r="B4" s="19" t="n">
        <v>497.7</v>
      </c>
      <c r="C4" s="19" t="n">
        <v>0</v>
      </c>
      <c r="D4" s="19" t="n">
        <v>6.07885e-15</v>
      </c>
      <c r="E4" s="19" t="n">
        <v>2.9726e-06</v>
      </c>
      <c r="F4" s="20" t="n">
        <v>2.300000000000011</v>
      </c>
      <c r="G4" s="20" t="n">
        <v>2.100002972599994</v>
      </c>
      <c r="H4" s="20" t="n">
        <v>124425</v>
      </c>
      <c r="I4" s="14" t="n">
        <v>0</v>
      </c>
      <c r="J4" s="14" t="n">
        <v>2.5016048251e-27</v>
      </c>
      <c r="K4" s="14" t="n">
        <v>1.2233021876e-18</v>
      </c>
      <c r="L4" s="14" t="n">
        <v>1.028815e-10</v>
      </c>
      <c r="M4" s="6" t="inlineStr">
        <is>
          <t>FAIL</t>
        </is>
      </c>
    </row>
    <row r="5">
      <c r="A5" t="inlineStr">
        <is>
          <t>3</t>
        </is>
      </c>
      <c r="B5" s="19" t="n">
        <v>4.84978e-15</v>
      </c>
      <c r="C5" s="19" t="n">
        <v>0</v>
      </c>
      <c r="D5" s="19" t="n">
        <v>0</v>
      </c>
      <c r="E5" s="19" t="n">
        <v>2.37615e-06</v>
      </c>
      <c r="F5" s="14" t="n">
        <v>3.999999995265242e-06</v>
      </c>
      <c r="G5" s="14" t="n">
        <v>2.376149996003197e-06</v>
      </c>
      <c r="H5" s="14" t="n">
        <v>1.314823855800001e-13</v>
      </c>
      <c r="I5" s="14" t="n">
        <v>0</v>
      </c>
      <c r="J5" s="14" t="n">
        <v>0</v>
      </c>
      <c r="K5" s="14" t="n">
        <v>1.5398212368e-18</v>
      </c>
      <c r="L5" s="14" t="n">
        <v>1.24998244448e-10</v>
      </c>
      <c r="M5" s="13" t="inlineStr">
        <is>
          <t>PASS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B0F0"/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12" customWidth="1" min="1" max="1"/>
    <col width="35" customWidth="1" min="2" max="2"/>
    <col width="36" customWidth="1" min="3" max="3"/>
    <col width="25" customWidth="1" min="4" max="4"/>
    <col width="25" customWidth="1" min="5" max="5"/>
    <col width="25" customWidth="1" min="6" max="6"/>
  </cols>
  <sheetData>
    <row r="1">
      <c r="A1" s="1" t="inlineStr">
        <is>
          <t>Market Statistics</t>
        </is>
      </c>
    </row>
    <row r="2"/>
    <row r="3">
      <c r="A3" t="inlineStr">
        <is>
          <t>total_q_injected_mvar</t>
        </is>
      </c>
      <c r="B3" s="4" t="n">
        <v>680.702</v>
      </c>
    </row>
    <row r="4">
      <c r="A4" t="inlineStr">
        <is>
          <t>total_q_absorbed_mvar</t>
        </is>
      </c>
      <c r="B4" s="4" t="n">
        <v>59.9318</v>
      </c>
    </row>
    <row r="5">
      <c r="A5" t="inlineStr">
        <is>
          <t>total_q_shunt_mvar</t>
        </is>
      </c>
      <c r="B5" s="4" t="n">
        <v>680</v>
      </c>
    </row>
    <row r="6">
      <c r="A6" t="inlineStr">
        <is>
          <t>total_q_load_mvar</t>
        </is>
      </c>
      <c r="B6" s="4" t="n">
        <v>1144</v>
      </c>
    </row>
    <row r="7">
      <c r="A7" t="inlineStr">
        <is>
          <t>net_reactive_line_losses_mvar</t>
        </is>
      </c>
      <c r="B7" s="4" t="n">
        <v>156.7701999999999</v>
      </c>
    </row>
    <row r="8">
      <c r="A8" t="inlineStr">
        <is>
          <t>total_payment_eur</t>
        </is>
      </c>
      <c r="B8" s="3" t="n">
        <v>126341.995528</v>
      </c>
    </row>
    <row r="9">
      <c r="A9" t="inlineStr">
        <is>
          <t>procurement_cost_eur</t>
        </is>
      </c>
      <c r="B9" s="3" t="n">
        <v>126316.993818</v>
      </c>
    </row>
    <row r="10">
      <c r="A10" t="inlineStr">
        <is>
          <t>tikhonov_eur</t>
        </is>
      </c>
      <c r="B10" s="3" t="n">
        <v>25.0017106</v>
      </c>
    </row>
    <row r="11">
      <c r="A11" t="inlineStr">
        <is>
          <t>average_injection_price_eur_mvar</t>
        </is>
      </c>
      <c r="B11" s="3" t="n">
        <v>185.463599549803</v>
      </c>
    </row>
    <row r="12">
      <c r="A12" t="inlineStr">
        <is>
          <t>average_absorption_price_eur_mvar</t>
        </is>
      </c>
      <c r="B12" s="3" t="n">
        <v>1.19384</v>
      </c>
    </row>
    <row r="13">
      <c r="A13" t="inlineStr">
        <is>
          <t>num_generators_injecting</t>
        </is>
      </c>
      <c r="B13" t="n">
        <v>3</v>
      </c>
    </row>
    <row r="14">
      <c r="A14" t="inlineStr">
        <is>
          <t>num_generators_absorbing</t>
        </is>
      </c>
      <c r="B14" t="n">
        <v>1</v>
      </c>
    </row>
    <row r="15">
      <c r="A15" t="inlineStr">
        <is>
          <t>num_generators_idle</t>
        </is>
      </c>
      <c r="B15" t="n">
        <v>0</v>
      </c>
    </row>
    <row r="16">
      <c r="A16" t="inlineStr">
        <is>
          <t>max_voltage_deviation_pu</t>
        </is>
      </c>
      <c r="B16" s="19" t="n">
        <v>0.05000000000000004</v>
      </c>
    </row>
    <row r="17">
      <c r="A17" t="inlineStr">
        <is>
          <t>most_loaded_branch</t>
        </is>
      </c>
      <c r="B17" t="inlineStr">
        <is>
          <t>6.0-&gt;7.0 (78.6%)</t>
        </is>
      </c>
    </row>
    <row r="18"/>
    <row r="19"/>
    <row r="20">
      <c r="A20" s="1" t="inlineStr">
        <is>
          <t>Producer Deadbands</t>
        </is>
      </c>
    </row>
    <row r="21">
      <c r="A21" s="21" t="inlineStr">
        <is>
          <t>NOTE: lam_abs values are Tikhonov artefacts (≈δ_reg). True absorption market price is indeterminate when qn=0.</t>
        </is>
      </c>
    </row>
    <row r="22">
      <c r="A22" t="inlineStr">
        <is>
          <t>gen_id</t>
        </is>
      </c>
      <c r="B22" t="inlineStr">
        <is>
          <t>injection_deadband_price (€/MVAr)</t>
        </is>
      </c>
      <c r="C22" t="inlineStr">
        <is>
          <t>absorption_deadband_price (€/MVAr)</t>
        </is>
      </c>
      <c r="D22" t="inlineStr">
        <is>
          <t>actual_lam_inj (€/MVAr)</t>
        </is>
      </c>
      <c r="E22" t="inlineStr">
        <is>
          <t>actual_lam_abs (€/MVAr)</t>
        </is>
      </c>
      <c r="F22" t="inlineStr">
        <is>
          <t>in_deadband?</t>
        </is>
      </c>
    </row>
    <row r="23">
      <c r="A23" s="8" t="n"/>
      <c r="B23" s="8" t="n"/>
      <c r="C23" s="8" t="n"/>
      <c r="D23" s="8" t="n"/>
      <c r="E23" s="8" t="n"/>
      <c r="F23" s="8" t="n"/>
    </row>
    <row r="24">
      <c r="A24" t="inlineStr">
        <is>
          <t>0</t>
        </is>
      </c>
      <c r="B24" s="3" t="n">
        <v>0</v>
      </c>
      <c r="C24" s="3" t="n">
        <v>0</v>
      </c>
      <c r="D24" s="19" t="n">
        <v>0.69994</v>
      </c>
      <c r="E24" s="19" t="n">
        <v>1.19384</v>
      </c>
      <c r="F24" s="13" t="inlineStr">
        <is>
          <t>INJ=ACTIVE / ABS=ACTIVE</t>
        </is>
      </c>
    </row>
    <row r="25">
      <c r="A25" t="inlineStr">
        <is>
          <t>1</t>
        </is>
      </c>
      <c r="B25" s="3" t="n">
        <v>0</v>
      </c>
      <c r="C25" s="3" t="n">
        <v>0</v>
      </c>
      <c r="D25" s="19" t="n">
        <v>2.98907</v>
      </c>
      <c r="E25" s="19" t="n">
        <v>2.7</v>
      </c>
      <c r="F25" s="13" t="inlineStr">
        <is>
          <t>INJ=ACTIVE / ABS=ACTIVE</t>
        </is>
      </c>
    </row>
    <row r="26">
      <c r="A26" t="inlineStr">
        <is>
          <t>2</t>
        </is>
      </c>
      <c r="B26" s="3" t="n">
        <v>0</v>
      </c>
      <c r="C26" s="3" t="n">
        <v>0</v>
      </c>
      <c r="D26" s="19" t="n">
        <v>500</v>
      </c>
      <c r="E26" s="19" t="n">
        <v>2.1</v>
      </c>
      <c r="F26" s="13" t="inlineStr">
        <is>
          <t>INJ=ACTIVE / ABS=ACTIVE</t>
        </is>
      </c>
    </row>
    <row r="27">
      <c r="A27" t="inlineStr">
        <is>
          <t>3</t>
        </is>
      </c>
      <c r="B27" s="3" t="n">
        <v>2</v>
      </c>
      <c r="C27" s="3" t="n">
        <v>3</v>
      </c>
      <c r="D27" s="19" t="n">
        <v>2.77156</v>
      </c>
      <c r="E27" s="19" t="n">
        <v>3</v>
      </c>
      <c r="F27" s="22" t="inlineStr">
        <is>
          <t>INJ=ACTIVE / ABS=DB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 ID</t>
        </is>
      </c>
      <c r="B1" t="inlineStr">
        <is>
          <t>V (pu)</t>
        </is>
      </c>
      <c r="C1" t="inlineStr">
        <is>
          <t>V_min</t>
        </is>
      </c>
      <c r="D1" t="inlineStr">
        <is>
          <t>V_max</t>
        </is>
      </c>
    </row>
    <row r="2">
      <c r="A2" t="inlineStr">
        <is>
          <t>1</t>
        </is>
      </c>
      <c r="B2" t="n">
        <v>1.01815</v>
      </c>
      <c r="C2" t="n">
        <v>0.95</v>
      </c>
      <c r="D2" t="n">
        <v>1.05</v>
      </c>
    </row>
    <row r="3">
      <c r="A3" t="inlineStr">
        <is>
          <t>2</t>
        </is>
      </c>
      <c r="B3" t="n">
        <v>1.02243</v>
      </c>
      <c r="C3" t="n">
        <v>0.95</v>
      </c>
      <c r="D3" t="n">
        <v>1.05</v>
      </c>
    </row>
    <row r="4">
      <c r="A4" t="inlineStr">
        <is>
          <t>3</t>
        </is>
      </c>
      <c r="B4" t="n">
        <v>0.99346</v>
      </c>
      <c r="C4" t="n">
        <v>0.95</v>
      </c>
      <c r="D4" t="n">
        <v>1.05</v>
      </c>
    </row>
    <row r="5">
      <c r="A5" t="inlineStr">
        <is>
          <t>4</t>
        </is>
      </c>
      <c r="B5" t="n">
        <v>0.959574</v>
      </c>
      <c r="C5" t="n">
        <v>0.95</v>
      </c>
      <c r="D5" t="n">
        <v>1.05</v>
      </c>
    </row>
    <row r="6">
      <c r="A6" t="inlineStr">
        <is>
          <t>5</t>
        </is>
      </c>
      <c r="B6" t="n">
        <v>0.980648</v>
      </c>
      <c r="C6" t="n">
        <v>0.95</v>
      </c>
      <c r="D6" t="n">
        <v>1.05</v>
      </c>
    </row>
    <row r="7">
      <c r="A7" t="inlineStr">
        <is>
          <t>6</t>
        </is>
      </c>
      <c r="B7" t="n">
        <v>1.00481</v>
      </c>
      <c r="C7" t="n">
        <v>0.95</v>
      </c>
      <c r="D7" t="n">
        <v>1.05</v>
      </c>
    </row>
    <row r="8">
      <c r="A8" t="inlineStr">
        <is>
          <t>7</t>
        </is>
      </c>
      <c r="B8" t="n">
        <v>1.00499</v>
      </c>
      <c r="C8" t="n">
        <v>0.95</v>
      </c>
      <c r="D8" t="n">
        <v>1.05</v>
      </c>
    </row>
    <row r="9">
      <c r="A9" t="inlineStr">
        <is>
          <t>8</t>
        </is>
      </c>
      <c r="B9" t="n">
        <v>1.03</v>
      </c>
      <c r="C9" t="n">
        <v>0.95</v>
      </c>
      <c r="D9" t="n">
        <v>1.05</v>
      </c>
    </row>
    <row r="10">
      <c r="A10" t="inlineStr">
        <is>
          <t>9</t>
        </is>
      </c>
      <c r="B10" t="n">
        <v>1.00085</v>
      </c>
      <c r="C10" t="n">
        <v>0.95</v>
      </c>
      <c r="D10" t="n">
        <v>1.05</v>
      </c>
    </row>
    <row r="11">
      <c r="A11" t="inlineStr">
        <is>
          <t>10</t>
        </is>
      </c>
      <c r="B11" t="n">
        <v>1.00838</v>
      </c>
      <c r="C11" t="n">
        <v>0.95</v>
      </c>
      <c r="D11" t="n">
        <v>1.05</v>
      </c>
    </row>
    <row r="12">
      <c r="A12" t="inlineStr">
        <is>
          <t>11</t>
        </is>
      </c>
      <c r="B12" t="n">
        <v>1.05</v>
      </c>
      <c r="C12" t="n">
        <v>0.95</v>
      </c>
      <c r="D12" t="n">
        <v>1.05</v>
      </c>
    </row>
    <row r="13">
      <c r="A13" t="inlineStr">
        <is>
          <t>12</t>
        </is>
      </c>
      <c r="B13" t="n">
        <v>1.02485</v>
      </c>
      <c r="C13" t="n">
        <v>0.95</v>
      </c>
      <c r="D13" t="n">
        <v>1.05</v>
      </c>
    </row>
    <row r="14">
      <c r="A14" t="inlineStr">
        <is>
          <t>13</t>
        </is>
      </c>
      <c r="B14" t="n">
        <v>1.05</v>
      </c>
      <c r="C14" t="n">
        <v>0.95</v>
      </c>
      <c r="D14" t="n">
        <v>1.05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2026-04-14T15:09:55Z</dcterms:created>
  <dcterms:modified xmlns:dcterms="http://purl.org/dc/terms/" xmlns:xsi="http://www.w3.org/2001/XMLSchema-instance" xsi:type="dcterms:W3CDTF">2026-04-14T15:09:55Z</dcterms:modified>
</cp:coreProperties>
</file>